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GIT\SEO Tool\"/>
    </mc:Choice>
  </mc:AlternateContent>
  <xr:revisionPtr revIDLastSave="0" documentId="8_{C3280A66-17BD-420B-AA19-5FCFF463D2FC}" xr6:coauthVersionLast="47" xr6:coauthVersionMax="47" xr10:uidLastSave="{00000000-0000-0000-0000-000000000000}"/>
  <bookViews>
    <workbookView xWindow="780" yWindow="780" windowWidth="21600" windowHeight="11295" activeTab="2" xr2:uid="{2410565C-2031-4841-B6E2-1887255FD9A7}"/>
  </bookViews>
  <sheets>
    <sheet name="DS_URL_Can_Xu_Ly" sheetId="3" r:id="rId1"/>
    <sheet name="Checklist_Hang_Muc_Ky_Thuat" sheetId="2" r:id="rId2"/>
    <sheet name="Tong_Quan_Va_Top_Trang"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4" i="2" l="1"/>
  <c r="I14" i="2"/>
  <c r="D20" i="1"/>
  <c r="G20" i="1"/>
  <c r="C20" i="1"/>
  <c r="I20" i="1"/>
</calcChain>
</file>

<file path=xl/sharedStrings.xml><?xml version="1.0" encoding="utf-8"?>
<sst xmlns="http://schemas.openxmlformats.org/spreadsheetml/2006/main" count="381" uniqueCount="219">
  <si>
    <t>BÁO CÁO HIỆU SUẤT GSC &amp; TỐI ƯU CTR TOP TRANG — ERX.VN</t>
  </si>
  <si>
    <t>Trích xuất từ Google Search Console (ngoc.nm@erx.vn) ngày 24/10/2026 — Gói bàn giao kỹ thuật cho Đơn vị phát triển (Bên thứ 3)</t>
  </si>
  <si>
    <t>STT</t>
  </si>
  <si>
    <t>URL_Trang_Erx_Vn</t>
  </si>
  <si>
    <t>Clicks_3T</t>
  </si>
  <si>
    <t>Impressions_3T</t>
  </si>
  <si>
    <t>CTR_Hien_Tai_Pct</t>
  </si>
  <si>
    <t>Vi_Tri_TB</t>
  </si>
  <si>
    <t>Clicks_Ky_Vong_6Pct</t>
  </si>
  <si>
    <t>De_Xuat_Title_Moi_Chuan_SEO</t>
  </si>
  <si>
    <t>De_Xuat_Meta_Description_Moi_155_160_Ky_Tu</t>
  </si>
  <si>
    <t>https://erx.vn/huong-dan-cach-cai-addin-doi-so-thanh-chu-trong-excel-7123612988.html</t>
  </si>
  <si>
    <t>Cách cài Add-in Đổi Số Thành Chữ trong Excel miễn phí (Tải file .xlam mới nhất)</t>
  </si>
  <si>
    <t>Tải miễn phí Add-in đọc số thành chữ tiếng Việt (VND, USD) trong Excel 2016, 2019, 2021 và Office 365 kèm hướng dẫn cài đặt chi tiết và cách sửa lỗi bị chặn Macro.</t>
  </si>
  <si>
    <t>https://erx.vn/ham-textsplit-trong-excel-tach-o-chuoi-van-ban-bang-dau-phan-cach-7123727669.html</t>
  </si>
  <si>
    <t>Hàm TEXTSPLIT trong Excel: Cách tách chuỗi văn bản bằng dấu phân cách (Có File mẫu)</t>
  </si>
  <si>
    <t>Hướng dẫn chi tiết cú pháp và 5 ví dụ thực tế dùng hàm TEXTSPLIT trong Excel 365 để tách họ tên, tách chuỗi theo cột/hàng, xử lý nhiều dấu phân cách và bỏ qua ô trống.</t>
  </si>
  <si>
    <t>https://erx.vn/</t>
  </si>
  <si>
    <t>ERX Việt Nam | Đào tạo Thực chiến Phân tích Dữ liệu, Excel, Power BI, Python &amp; Chuỗi cung ứng</t>
  </si>
  <si>
    <t>Hệ sinh thái đào tạo và giải pháp dữ liệu thực chiến hàng đầu Việt Nam: Khóa học Excel 365, VBA, SQL, Power Query, Power BI, Python và Quản trị Mua hàng - Chuỗi cung ứng.</t>
  </si>
  <si>
    <t>https://erx.vn/dinh-dang-o-trong-excel-format-cells-phan-1-7122786696.html</t>
  </si>
  <si>
    <t>Định dạng ô trong Excel (Format Cells) từ A-Z: Căn lề, Số, Ngày tháng &amp; Phím tắt</t>
  </si>
  <si>
    <t>Cẩm nang toàn diện về hộp thoại Format Cells (Ctrl + 1) trong Excel: cách định dạng số, tiền tệ, ngày tháng, Custom Format nâng cao và căn chỉnh bảng tính chuyên nghiệp.</t>
  </si>
  <si>
    <t>https://erx.vn/huong-dan-cho-nguoi-moi-bat-dau-voi-power-query-power-pivot-va-power-bi-7122657559.html</t>
  </si>
  <si>
    <t>Phân biệt Power Query, Power Pivot và Power BI: Lộ trình cho người mới bắt đầu</t>
  </si>
  <si>
    <t>Giải thích dễ hiểu sự khác biệt và cách kết hợp bộ 3 công cụ Power Query (ETL dữ liệu), Power Pivot (Data Model &amp; DAX) và Power BI để tự động hóa báo cáo doanh nghiệp.</t>
  </si>
  <si>
    <t>https://erx.vn/ham-excel-textafter-trich-xuat-van-ban-sau-ky-tu-hoac-tu-cu-the-ban-muon-7123747108.html</t>
  </si>
  <si>
    <t>Hàm TEXTAFTER trong Excel: Cú pháp &amp; Cách lấy chuỗi sau ký tự phân cách (Có File mẫu)</t>
  </si>
  <si>
    <t>Cách sử dụng hàm TEXTAFTER trong Excel 365 để trích xuất văn bản nằm sau dấu cách, dấu phẩy hoặc từ khóa bất kỳ từ trái sang phải và từ phải sang trái kèm file thực hành.</t>
  </si>
  <si>
    <t>https://erx.vn/tinh-tong-bo-qua-hidden-row-va-hidden-column-7123622137.html</t>
  </si>
  <si>
    <t>Cách tính tổng bỏ qua dòng ẩn (Hidden Row) và cột ẩn trong Excel bằng SUBTOTAL &amp; AGGREGATE</t>
  </si>
  <si>
    <t>Hướng dẫn chi tiết cách dùng hàm SUBTOTAL(109,...) và hàm AGGREGATE trong Excel để tính tổng chính xác vùng dữ liệu sau khi lọc (Filter) hoặc ẩn dòng, ẩn cột.</t>
  </si>
  <si>
    <t>https://erx.vn/ham-choosecols-trong-excel-de-lay-cac-cot-tu-mang-array-hoac-pham-vi-7123752471.html</t>
  </si>
  <si>
    <t>Hàm CHOOSECOLS trong Excel: Cách trích xuất các cột tùy chọn từ bảng dữ liệu</t>
  </si>
  <si>
    <t>Hướng dẫn dùng hàm mảng động CHOOSECOLS trong Excel 365 để lấy các cột bất kỳ, đổi thứ tự cột hoặc kết hợp với hàm FILTER, SORT mà không cần dùng VLOOKUP phức tạp.</t>
  </si>
  <si>
    <t>https://erx.vn/cach-unblock-de-chay-cac-file-chua-code-vba-moi-nhat-7123166602.html</t>
  </si>
  <si>
    <t>Cách sửa lỗi Security Risk Microsoft has blocked macros (Unblock file VBA Excel)</t>
  </si>
  <si>
    <t>3 cách khắc phục triệt để lỗi màu đỏ Security Risk: Microsoft has blocked macros from running khi tải file Excel chứa code VBA hoặc Add-in từ Internet về máy tính.</t>
  </si>
  <si>
    <t>https://erx.vn/su-dung-chuc-nang-name-manager-huong-dan-tai-name-dong-trong-excel-7122757956.html</t>
  </si>
  <si>
    <t>Name Manager trong Excel là gì? Hướng dẫn tạo Name động (Dynamic Named Range)</t>
  </si>
  <si>
    <t>Hướng dẫn quản lý vùng đặt tên bằng Name Manager (Ctrl + F3) và cách kết hợp hàm OFFSET, INDEX để tạo Name động tự động co giãn khi thêm dữ liệu mới trong Excel.</t>
  </si>
  <si>
    <t>Total</t>
  </si>
  <si>
    <t>CHECKLIST CÁC HẠNG MỤC KỸ THUẬT SEO BÀN GIAO BÊN THỨ 3 &amp; NỘI BỘ ERX</t>
  </si>
  <si>
    <t>Phân loại mức độ ưu tiên (P0–P2), đơn vị phụ trách, số lượng URL ảnh hưởng và giải pháp kỹ thuật chi tiết</t>
  </si>
  <si>
    <t>Ma_Hang_Muc</t>
  </si>
  <si>
    <t>Muc_Uu_Tien</t>
  </si>
  <si>
    <t>Ten_Mien_Ap_Dung</t>
  </si>
  <si>
    <t>Don_Vi_Phu_Trach</t>
  </si>
  <si>
    <t>So_URL_Anh_Huong</t>
  </si>
  <si>
    <t>Van_De_GSC_Ghi_Nhan</t>
  </si>
  <si>
    <t>Nguyen_Nhan_Goc_Ky_Thuat</t>
  </si>
  <si>
    <t>Yeu_Cau_Ky_Thuat_Chi_Tiet</t>
  </si>
  <si>
    <t>Trang_Thai</t>
  </si>
  <si>
    <t>SEO-ERX-01</t>
  </si>
  <si>
    <t>P0 - Khẩn cấp</t>
  </si>
  <si>
    <t>erx.vn</t>
  </si>
  <si>
    <t>Bên thứ 3 (Đơn vị phát triển web erx.vn)</t>
  </si>
  <si>
    <t>109 URL Desktop Poor Core Web Vitals (CLS 0,52; LCP 2,6s) + 28 lỗi 404 ảo (/selection/*, /dropdown/*, /select2/*)</t>
  </si>
  <si>
    <t>Thẻ &lt;head&gt; của mọi trang nhúng trực tiếp 848 KB CSS/JS inline (Bootstrap, jQuery, Select2, OwlCarousel); Googlebot quét chuỗi module AMD trong select2.js thành 28 link 404; thẻ &lt;img&gt; và banner thiếu width/height gây lệch bố cục CLS 0,52.</t>
  </si>
  <si>
    <t>1) Tách khối CSS/JS thư viện khỏi &lt;head&gt; ra file tĩnh /assets/vendor.min.css &amp; /assets/vendor.min.js có cache + defer. 2) Khai báo width/height hoặc min-height cố định cho &lt;img class='img-logo'&gt;, &lt;img class='image_main'&gt; và khung OwlCarousel.</t>
  </si>
  <si>
    <t>Chờ Bên thứ 3 xử lý</t>
  </si>
  <si>
    <t>SEO-ERX-02</t>
  </si>
  <si>
    <t>CTR toàn trang thấp (2,2%; bài Top 5 chỉ đạt 1,3% CTR) &amp; không nhận diện được Schema Article</t>
  </si>
  <si>
    <t>Thẻ &lt;meta name='description'&gt; copy nguyên văn thẻ &lt;title&gt; viết IN HOA toàn bộ; khối JSON-LD khai báo sai chữ thường '@type': 'article' (thay vì 'Article') và thiếu headline, datePublished.</t>
  </si>
  <si>
    <t>1) Sửa CMS tự sinh &lt;meta name='description'&gt; từ 155–160 ký tự đầu của đoạn mở đầu bài viết, cập nhật ngay Meta cho Top 10 bài viết ở Sheet 1. 2) Sửa JSON-LD thành '@type': 'Article' có đủ headline, description, image, datePublished, author, publisher.</t>
  </si>
  <si>
    <t>SEO-ERX-03</t>
  </si>
  <si>
    <t>P1 - Cao</t>
  </si>
  <si>
    <t>48 URL lỗi 404 + 1 URL lỗi Soft 404 thuộc các đường dẫn AJAX, Giỏ hàng, Tìm kiếm Tag và Select2</t>
  </si>
  <si>
    <t>Tệp https://erx.vn/robots.txt chưa chặn các đường dẫn /search?tag=..., /ShoppingCart/*, /Newsletter/*, /ShowUser/*, /ShowItem/*, /Content/GetMoreContentToLoad và các đường dẫn ảo /selection/, /dropdown/, /select2/.</t>
  </si>
  <si>
    <t>Cập nhật tệp https://erx.vn/robots.txt theo đúng mẫu tại Mục 2.3 của tài liệu đặc tả Word để ngăn Googlebot thu thập các endpoint AJAX/POST và trang tìm kiếm tag nội bộ.</t>
  </si>
  <si>
    <t>SEO-ERX-04</t>
  </si>
  <si>
    <t>erx.vn &amp; khoahoc.erx.vn</t>
  </si>
  <si>
    <t>24 URL bài viết/khóa học cũ bị 404 (gồm 9 slug bị cắt cụt, 1 lỗi cú pháp iframe) + 8 tệp .xlsx bị báo Crawled - not indexed / Soft 404</t>
  </si>
  <si>
    <t>Đổi đường dẫn bài viết/khóa học cũ nhưng chưa đặt 301 Redirect; một bài viết có mã HTML hỏng src='.../player?autoplay=true\"&gt;&lt;/iframe&gt;'; tệp thực hành .xlsx trong /Media/ không có header X-Robots-Tag: noindex.</t>
  </si>
  <si>
    <t>1) Sửa lỗi HTML thẻ iframe chứa /player?autoplay=true. 2) Cấu hình 301 Redirect cho 23 URL bài viết/khóa học cũ và slug bị cắt cụt (xem chi tiết tại Sheet 3). 3) Cấu hình IIS/Nginx gắn HTTP header 'X-Robots-Tag: noindex, noarchive' cho *.xlsx trong /Media/.</t>
  </si>
  <si>
    <t>SEO-ERX-05</t>
  </si>
  <si>
    <t>khoahoc.erx.vn</t>
  </si>
  <si>
    <t>Bên thứ 3 (Đơn vị quản trị khoahoc.erx.vn)</t>
  </si>
  <si>
    <t>16 URL bị lỗi Duplicate without user-selected canonical + 10 URL /course/* bị Crawled - currently not indexed</t>
  </si>
  <si>
    <t>Mỗi khóa học trên khoahoc.erx.vn tồn tại song song ở 2 URL: dạng gạch dưới (/master_excel_from_a_to_z) và dạng /course/ gạch ngang (/course/master-excel-from-a-to-z), cộng thêm /home trùng trang chủ nhưng không có thẻ &lt;link rel='canonical'&gt;.</t>
  </si>
  <si>
    <t>1) 301 Redirect https://khoahoc.erx.vn/home về https://khoahoc.erx.vn/. 2) Chọn 1 cấu trúc URL chuẩn duy nhất khớp với sitemap.xml và gắn thẻ &lt;link rel='canonical' href='...' /&gt; tự trỏ chính xác trên toàn bộ các trang của khoahoc.erx.vn.</t>
  </si>
  <si>
    <t>SEO-INT-06</t>
  </si>
  <si>
    <t>community.erx.vn</t>
  </si>
  <si>
    <t>Nội bộ ERX (Đã tự động sửa &amp; push Git)</t>
  </si>
  <si>
    <t>/ bị báo chặn robots.txt (17/10); /tuyen-dung/ &amp; /khoa-hoc/ bị Crawled - not indexed; thiếu trang SSR chi tiết khóa học</t>
  </si>
  <si>
    <t>robots.txt chặn /api/ khiến Googlebot WRS không tải được API đọc công khai trên trang chủ SPA; /tuyen-dung/ ít nội dung khi chưa có JD mở; /khoa-hoc/ chưa có trang chi tiết /khoa-hoc/{slug}-{id} trong sitemap.xml.</t>
  </si>
  <si>
    <t>ĐÃ HOÀN TẤT: Đã mở Allow cho 4 API đọc công khai trong robots.txt, làm giàu nội dung + danh bạ KYB cho /tuyen-dung/, tạo route SSR /khoa-hoc/{slug_id} kèm Course JSON-LD, vượt qua 42/42 pytest, push commit 2e8899a2 lên main &amp; staging và Request Indexing trên GSC.</t>
  </si>
  <si>
    <t>Đã hoàn thành (24/10/2026)</t>
  </si>
  <si>
    <t>SEO-INT-07</t>
  </si>
  <si>
    <t>doc-translate.erx.vn</t>
  </si>
  <si>
    <t>https://doc-translate.erx.vn/ nằm trong danh sách Duplicate without user-selected canonical trên GSC</t>
  </si>
  <si>
    <t>Tệp index.html của ứng dụng React doc-translate.erx.vn chưa khai báo thẻ &lt;link rel='canonical'&gt; và &lt;meta name='description'&gt;.</t>
  </si>
  <si>
    <t>ĐÃ HOÀN TẤT: Đã bổ sung &lt;link rel='canonical' href='https://doc-translate.erx.vn/' /&gt; và &lt;meta name='description'&gt; vào webapp-react/index.html, commit 8dcaff61 và push lên origin/full_app.</t>
  </si>
  <si>
    <t>SEO-INT-08</t>
  </si>
  <si>
    <t>sc-domain:erx.vn (GSC)</t>
  </si>
  <si>
    <t>Nội bộ ERX (Đã thao tác trực tiếp trên GSC)</t>
  </si>
  <si>
    <t>Sitemap https://blog.erx.vn/sitemap.xml báo lỗi Couldn't fetch &amp; cảnh báo 1 unused verification token</t>
  </si>
  <si>
    <t>Subdomain blog.erx.vn đã ngừng sử dụng và đưa vào Removals nhưng sitemap cũ vẫn còn trong danh sách Sitemaps của GSC.</t>
  </si>
  <si>
    <t>ĐÃ HOÀN TẤT: Đã xóa trực tiếp sitemap lỗi https://blog.erx.vn/sitemap.xml trên GSC (cả 3 sitemap còn lại đều Success) và xác minh token DNS TXT thuộc tài khoản nội bộ info@erx.vn.</t>
  </si>
  <si>
    <t>DANH SÁCH CHI TIẾT CÁC URL CẦN XỬ LÝ TRÊN GOOGLE SEARCH CONSOLE (ERX.VN &amp; KHOAHOC.ERX.VN)</t>
  </si>
  <si>
    <t>Danh sách đầy đủ từng URL trích xuất từ báo cáo Page Indexing của Google Search Console ngày 24/10/2026 kèm hướng xử lý cụ thể</t>
  </si>
  <si>
    <t>URL_Day_Du_Tren_GSC</t>
  </si>
  <si>
    <t>Subdomain</t>
  </si>
  <si>
    <t>Nhom_Loi_GSC</t>
  </si>
  <si>
    <t>Phan_Loai_Nguyen_Nhan</t>
  </si>
  <si>
    <t>Hanh_Dong_Ky_Thuat_Yeu_Cau</t>
  </si>
  <si>
    <t>https://erx.vn/player?autoplay=true"&gt;&lt;/iframe&gt;</t>
  </si>
  <si>
    <t>Not found (404)</t>
  </si>
  <si>
    <t>Lỗi cú pháp HTML thẻ iframe trong bài viết</t>
  </si>
  <si>
    <t>Tìm bài viết chứa chuỗi '/player?autoplay=true' bị dư '"&gt;&lt;/iframe&gt;' trong thuộc tính href/src và sửa lại cú pháp HTML.</t>
  </si>
  <si>
    <t>https://erx.vn/gioi-thieu-ve-erx.html</t>
  </si>
  <si>
    <t>Trang tĩnh cũ đã xóa/đổi URL</t>
  </si>
  <si>
    <t>Cấu hình 301 Redirect về https://erx.vn/ (hoặc trang Giới thiệu hiện hành).</t>
  </si>
  <si>
    <t>https://erx.vn/tuyen-dung-nhan-su.html</t>
  </si>
  <si>
    <t>Trang tuyển dụng cũ đã xóa/đổi URL</t>
  </si>
  <si>
    <t>Cấu hình 301 Redirect về https://community.erx.vn/tuyen-dung/.</t>
  </si>
  <si>
    <t>https://erx.vn/tuyen-dung-giang-vien.html</t>
  </si>
  <si>
    <t>https://erx.vn/download.shtm</t>
  </si>
  <si>
    <t>Trang tải tài liệu cũ (.shtm) đã bỏ</t>
  </si>
  <si>
    <t>Cấu hình 301 Redirect về https://erx.vn/.</t>
  </si>
  <si>
    <t>https://erx.vn/python-for-supply-chain-88637978.html</t>
  </si>
  <si>
    <t>Trang khóa học cũ đã đổi URL</t>
  </si>
  <si>
    <t>Cấu hình 301 Redirect về https://khoahoc.erx.vn/course/python-for-supply-chain.</t>
  </si>
  <si>
    <t>https://erx.vn/khoa-hoc-chuyen-vien-mua-hang-hands-on-procurement-905837736.html</t>
  </si>
  <si>
    <t>Cấu hình 301 Redirect về https://khoahoc.erx.vn/course/hands-on-procurement.</t>
  </si>
  <si>
    <t>https://erx.vn/procurement-in-hand-88669953</t>
  </si>
  <si>
    <t>https://erx.vn/sql-in-excel-level-01-data-analysis-automated-reports-dashboard-90302334.html</t>
  </si>
  <si>
    <t>Cấu hình 301 Redirect về trang khóa học SQL in Excel Level 01 hiện hành trên erx.vn / khoahoc.erx.vn.</t>
  </si>
  <si>
    <t>https://erx.vn/data-analysis-automated-reports-dashboard-level-01-sql-vba-excel-90302334.html</t>
  </si>
  <si>
    <t>https://workshop.erx.vn/</t>
  </si>
  <si>
    <t>workshop.erx.vn</t>
  </si>
  <si>
    <t>Subdomain sự kiện cũ không còn sử dụng</t>
  </si>
  <si>
    <t>Cấu hình 301 Redirect về https://khoahoc.erx.vn/workshop hoặc https://erx.vn/.</t>
  </si>
  <si>
    <t>https://erx.vn/tong-hop-du-lieu-tu-nhieu-</t>
  </si>
  <si>
    <t>Liên kết nội bộ bị cắt cụt slug (Truncated Slug)</t>
  </si>
  <si>
    <t>301 Redirect về bài viết đầy đủ (Tổng hợp dữ liệu từ nhiều sheet/file) và sửa link nội bộ trong bài viết.</t>
  </si>
  <si>
    <t>https://erx.vn/data-visualization-and-analysis-with-</t>
  </si>
  <si>
    <t>301 Redirect về trang khóa học Data Visualization &amp; Analysis with Power BI đầy đủ.</t>
  </si>
  <si>
    <t>https://erx.vn/warehouse_picking_routing-</t>
  </si>
  <si>
    <t>301 Redirect về bài viết/khóa học Warehouse Picking Routing đầy đủ.</t>
  </si>
  <si>
    <t>https://erx.vn/lam-quen-voi-thu-vien-pandas-va-dataframe-</t>
  </si>
  <si>
    <t>301 Redirect về bài viết Làm quen với thư viện Pandas và DataFrame đầy đủ.</t>
  </si>
  <si>
    <t>https://erx.vn/sql-in-excel-level-01-</t>
  </si>
  <si>
    <t>301 Redirect về trang khóa học SQL in Excel Level 01 đầy đủ.</t>
  </si>
  <si>
    <t>https://erx.vn/sql-in-excel-level-02-</t>
  </si>
  <si>
    <t>301 Redirect về trang khóa học SQL in Excel Level 02 đầy đủ.</t>
  </si>
  <si>
    <t>https://erx.vn/hybrid-</t>
  </si>
  <si>
    <t>301 Redirect về trang khóa học/sự kiện Hybrid tương ứng hoặc trang chủ https://erx.vn/.</t>
  </si>
  <si>
    <t>https://erx.vn/hybrid-wo</t>
  </si>
  <si>
    <t>301 Redirect về trang sự kiện Hybrid Workshop tương ứng hoặc trang chủ https://erx.vn/.</t>
  </si>
  <si>
    <t>https://erx.vn/online-</t>
  </si>
  <si>
    <t>301 Redirect về trang khóa học Online tương ứng hoặc trang chủ https://erx.vn/.</t>
  </si>
  <si>
    <t>https://khoahoc.erx.vn/course/retail-supply-chain-management</t>
  </si>
  <si>
    <t>URL khóa học cũ trên khoahoc.erx.vn bị 404</t>
  </si>
  <si>
    <t>301 Redirect về trang khóa học hiện hành hoặc https://khoahoc.erx.vn/.</t>
  </si>
  <si>
    <t>https://khoahoc.erx.vn/course/ung-dung-AI-trong-quan-ly-cong-viec</t>
  </si>
  <si>
    <t>301 Redirect về https://khoahoc.erx.vn/course/ai-security-training-program hoặc https://khoahoc.erx.vn/.</t>
  </si>
  <si>
    <t>https://khoahoc.erx.vn/course/sql-for-data-analytics-level-02</t>
  </si>
  <si>
    <t>301 Redirect về trang khóa học SQL Level 02 hiện hành hoặc https://khoahoc.erx.vn/.</t>
  </si>
  <si>
    <t>https://khoahoc.erx.vn/course/master-new-excel-365-functions</t>
  </si>
  <si>
    <t>Sai khác chữ 's' ở cuối slug khóa học</t>
  </si>
  <si>
    <t>301 Redirect về https://khoahoc.erx.vn/course/master-new-excel-365-function (bỏ chữ s ở cuối).</t>
  </si>
  <si>
    <t>https://erx.vn/Newsletter/PostNewsletter</t>
  </si>
  <si>
    <t>Endpoint POST/AJAX bị Googlebot crawl</t>
  </si>
  <si>
    <t>Chặn trong robots.txt (Disallow: /Newsletter/) và trả về 405 Method Not Allowed cho GET request.</t>
  </si>
  <si>
    <t>https://erx.vn/ShowUser/Register</t>
  </si>
  <si>
    <t>Chặn trong robots.txt (Disallow: /ShowUser/).</t>
  </si>
  <si>
    <t>https://erx.vn/ShowItem/AddFavoriteItem</t>
  </si>
  <si>
    <t>Chặn trong robots.txt (Disallow: /ShowItem/).</t>
  </si>
  <si>
    <t>https://erx.vn/ShoppingCart/UpdateSpecialName</t>
  </si>
  <si>
    <t>Endpoint POST/AJAX giỏ hàng bị Googlebot crawl</t>
  </si>
  <si>
    <t>Chặn trong robots.txt (Disallow: /ShoppingCart/).</t>
  </si>
  <si>
    <t>https://erx.vn/ShoppingCart/UpdateValueStr</t>
  </si>
  <si>
    <t>https://erx.vn/ShoppingCart/GetPaymentMethodInfo</t>
  </si>
  <si>
    <t>https://erx.vn/ShoppingCart/GetDistrict</t>
  </si>
  <si>
    <t>https://erx.vn/cart</t>
  </si>
  <si>
    <t>Trang giỏ hàng rỗng trả về 404</t>
  </si>
  <si>
    <t>Chặn trong robots.txt (Disallow: /cart).</t>
  </si>
  <si>
    <t>https://erx.vn/search?tag=excel (cùng 11 URL /search?tag=vba, power+bi, dax, sql, data, ha+noi, hochiminh, mua+hang, supply+chain, chung+chi)</t>
  </si>
  <si>
    <t>12 trang tìm kiếm tag nội bộ trả về 404</t>
  </si>
  <si>
    <t>Chặn trong robots.txt (Disallow: /search) và gỡ bỏ các liên kết /search?tag=... không hoạt động trong giao diện bài viết.</t>
  </si>
  <si>
    <t>https://erx.vn/selection/eventRelay (cùng 27 URL module AMD của select2.js: /selection/*, /dropdown/*, /data/*, /select2/*, /i18n/*, /utils, /results, /defaults...)</t>
  </si>
  <si>
    <t>28 URL ảo sinh ra do nhúng inline thư viện select2.js trong thẻ &lt;head&gt;</t>
  </si>
  <si>
    <t>Tách thư viện select2.js ra tệp .js tĩnh bên ngoài HTML (Hạng mục 1) và chặn /selection/, /dropdown/, /select2/, /i18n/ trong robots.txt.</t>
  </si>
  <si>
    <t>https://erx.vn/Content/GetMoreContentToLoad</t>
  </si>
  <si>
    <t>Soft 404</t>
  </si>
  <si>
    <t>Endpoint AJAX tải thêm nội dung trả về trang trắng khi gọi GET trực tiếp</t>
  </si>
  <si>
    <t>Chặn trong robots.txt (Disallow: /Content/GetMoreContentToLoad).</t>
  </si>
  <si>
    <t>https://erx.vn/Media/trunghoang/Excel_365/TEXTAFTER_FileThucHanh.xlsx (cùng 7+ file .xlsx trong /Media/trunghoang/...)</t>
  </si>
  <si>
    <t>Soft 404 &amp; Crawled - not indexed</t>
  </si>
  <si>
    <t>Tệp thực hành Excel (.xlsx) bị Googlebot thu thập như trang nội dung HTML</t>
  </si>
  <si>
    <t>Cấu hình Web Server (IIS/Nginx) gắn HTTP Response Header 'X-Robots-Tag: noindex, noarchive' cho toàn bộ tệp .xlsx, .xlsm, .xls trong /Media/.</t>
  </si>
  <si>
    <t>https://khoahoc.erx.vn/home</t>
  </si>
  <si>
    <t>Duplicate without user-selected canonical</t>
  </si>
  <si>
    <t>Trang /home trùng lặp 100% với trang gốc https://khoahoc.erx.vn/</t>
  </si>
  <si>
    <t>301 Redirect https://khoahoc.erx.vn/home về https://khoahoc.erx.vn/ và gắn canonical tự trỏ trên trang chủ.</t>
  </si>
  <si>
    <t>https://khoahoc.erx.vn/master_excel_from_a_to_z (cùng 14 trang gạch dưới _: /python_for_supply_chain, /ai_security_training_program, /hands_on_procurement, /master_excel_365, /master_vba, /power_bi_bootcamp_*, /how_to_become_a_procurement_manager, /fast_track_to_power_bi, /master_power_query, /master_new_excel_365_function, /workshop, /erx_blog, /procurement_vietnam_forum)</t>
  </si>
  <si>
    <t>Duplicate without user-selected canonical (15 URL) &amp; Crawled - not indexed (10 URL /course/*)</t>
  </si>
  <si>
    <t>Tồn tại song song URL dạng gạch dưới (_) và dạng /course/ gạch ngang (-) không có thẻ canonical</t>
  </si>
  <si>
    <t>Thống nhất 1 cấu trúc URL chuẩn duy nhất khớp với https://khoahoc.erx.vn/sitemap.xml, gắn thẻ &lt;link rel='canonical'&gt; trên mọi trang và 301 Redirect biến thể còn lại.</t>
  </si>
  <si>
    <t>https://doc-translate.erx.vn/</t>
  </si>
  <si>
    <t>Thiếu thẻ &lt;link rel='canonical'&gt; trong webapp-react/index.html</t>
  </si>
  <si>
    <t>ĐÃ XỬ LÝ NỘI BỘ: Đã thêm thẻ canonical và meta description, commit 8dcaff61 và push lên origin/full_app.</t>
  </si>
  <si>
    <t>http://erx.vn/ (cùng 2 trang sự kiện: /master-data-model-dax-in-power-bi-908586522.html và /ung-dung-excel-vba-trong-quan-ly-san-xuat-88687573.html)</t>
  </si>
  <si>
    <t>Duplicate, Google chose different canonical than user (3 URL)</t>
  </si>
  <si>
    <t>2 trang sự kiện/workshop dùng lại nội dung mẫu giống nhau nên Google tự gộp canonical; http://erx.vn/ chuyển hướng về https://erx.vn/</t>
  </si>
  <si>
    <t>Viết nội dung mô tả độc lập cho từng trang sự kiện/khóa học hoặc chủ động đặt canonical/301 về khóa học chính.</t>
  </si>
  <si>
    <t>https://community.erx.vn/, https://community.erx.vn/tuyen-dung/, https://community.erx.vn/khoa-hoc/</t>
  </si>
  <si>
    <t>Blocked by robots.txt (1 URL) &amp; Crawled - not indexed (2 URL) trên bảng tổng hợp cũ 16/10/2026</t>
  </si>
  <si>
    <t>robots.txt từng chặn API công khai; /tuyen-dung/ và /khoa-hoc/ ít nội dung và chưa có trang SSR chi tiết khóa học</t>
  </si>
  <si>
    <t>ĐÃ XỬ LÝ NỘI BỘ: Đã vá code (commit 2e8899a2), gửi lại sitemap.xml (84 trang) và bấm Request Indexing trực tiếp cho cả 3 URL (cả 3 đều đã báo Page is indexed).</t>
  </si>
  <si>
    <t>TỔNG LƯỢT CLICK (3 THÁNG)</t>
  </si>
  <si>
    <t>CTR TB: 2,2% | Vị trí TB: 7,2 (3 tháng)</t>
  </si>
  <si>
    <t>TỔNG LƯỢT HIỂN THỊ (IMPRESSIONS)</t>
  </si>
  <si>
    <t>Tiềm năng đạt &gt;6.000 Clicks khi sửa Meta &amp; Schema</t>
  </si>
  <si>
    <t>URL CHƯA LẬP CHỈ MỤC (NOT INDEXED)</t>
  </si>
  <si>
    <t>199 Đã lập chỉ mục / 150 Chưa lập chỉ mục (8 nhóm)</t>
  </si>
  <si>
    <t>URL DESKTOP POOR CORE WEB VITALS</t>
  </si>
  <si>
    <t>CLS = 0,52 (chuẩn &lt;0,1) &amp; LCP = 2,6s do 848 KB inline &lt;head&gt;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</si>
</sst>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Segoe UI"/>
      <family val="2"/>
    </font>
    <font>
      <b/>
      <sz val="15"/>
      <color rgb="FFFFFFFF"/>
      <name val="Segoe UI"/>
      <family val="2"/>
    </font>
    <font>
      <i/>
      <sz val="9"/>
      <color rgb="FF696969"/>
      <name val="Segoe UI"/>
      <family val="2"/>
    </font>
    <font>
      <b/>
      <sz val="8"/>
      <color rgb="FF696969"/>
      <name val="Segoe UI"/>
      <family val="2"/>
    </font>
    <font>
      <b/>
      <sz val="16"/>
      <color theme="1"/>
      <name val="Segoe UI"/>
      <family val="2"/>
    </font>
    <font>
      <sz val="7.5"/>
      <color rgb="FF008000"/>
      <name val="Segoe UI"/>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0">
    <xf numFmtId="0" fontId="0" fillId="0" borderId="0" xfId="0"/>
    <xf numFmtId="0" fontId="1" fillId="0" borderId="0" xfId="0" applyFont="1"/>
    <xf numFmtId="0" fontId="2" fillId="2" borderId="0" xfId="0" quotePrefix="1" applyFont="1" applyFill="1" applyAlignment="1">
      <alignment horizontal="left" vertical="center"/>
    </xf>
    <xf numFmtId="0" fontId="2" fillId="2" borderId="0" xfId="0" applyFont="1" applyFill="1" applyAlignment="1">
      <alignment horizontal="left" vertical="center"/>
    </xf>
    <xf numFmtId="0" fontId="1" fillId="0" borderId="0" xfId="0" quotePrefix="1" applyFont="1"/>
    <xf numFmtId="0" fontId="3" fillId="0" borderId="0" xfId="0" quotePrefix="1" applyFont="1"/>
    <xf numFmtId="0" fontId="4" fillId="0" borderId="1" xfId="0" quotePrefix="1" applyFont="1" applyBorder="1"/>
    <xf numFmtId="0" fontId="1" fillId="0" borderId="1" xfId="0" applyFont="1" applyBorder="1"/>
    <xf numFmtId="3" fontId="5" fillId="0" borderId="1" xfId="0" applyNumberFormat="1" applyFont="1" applyBorder="1"/>
    <xf numFmtId="0" fontId="6" fillId="0" borderId="1" xfId="0" quotePrefix="1" applyFont="1" applyBorder="1"/>
  </cellXfs>
  <cellStyles count="1">
    <cellStyle name="Normal" xfId="0" builtinId="0"/>
  </cellStyles>
  <dxfs count="49">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9E574C-EF5E-4E28-9FB5-CEA4FADD173E}" name="BangDanhSachUrlLoi" displayName="BangDanhSachUrlLoi" ref="A5:G46" totalsRowShown="0" headerRowDxfId="0" dataDxfId="1">
  <autoFilter ref="A5:G46" xr:uid="{799E574C-EF5E-4E28-9FB5-CEA4FADD173E}"/>
  <tableColumns count="7">
    <tableColumn id="1" xr3:uid="{AEB1FBFF-CF04-4EB5-B702-B345F28C9D99}" name="STT" dataDxfId="8"/>
    <tableColumn id="2" xr3:uid="{419F1C9C-E5F6-4428-B8C1-B4B4D37164E4}" name="URL_Day_Du_Tren_GSC" dataDxfId="7"/>
    <tableColumn id="3" xr3:uid="{7066B434-855F-4B38-9889-C5F68A015E5E}" name="Subdomain" dataDxfId="6"/>
    <tableColumn id="4" xr3:uid="{0342E1DB-481B-4A5A-98C0-47ADBDCEE6E0}" name="Nhom_Loi_GSC" dataDxfId="5"/>
    <tableColumn id="5" xr3:uid="{137D2CF8-FB0F-4279-B565-A6EB7FBFBF70}" name="Phan_Loai_Nguyen_Nhan" dataDxfId="4"/>
    <tableColumn id="6" xr3:uid="{683DCB27-7E0E-4FA2-8A58-E02504E965B5}" name="Hanh_Dong_Ky_Thuat_Yeu_Cau" dataDxfId="3"/>
    <tableColumn id="7" xr3:uid="{3986F78D-7D00-4A7E-97CD-B2FF1F58F185}" name="Trang_Thai"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AE3E6-3E41-49CE-BF1C-D8F6FD572794}" name="BangChecklistKyThuat" displayName="BangChecklistKyThuat" ref="A5:I14" totalsRowCount="1" headerRowDxfId="18" dataDxfId="19">
  <autoFilter ref="A5:I13" xr:uid="{52EAE3E6-3E41-49CE-BF1C-D8F6FD572794}"/>
  <tableColumns count="9">
    <tableColumn id="1" xr3:uid="{FB2E4D8C-8636-486B-8A64-60A005A3F852}" name="Ma_Hang_Muc" totalsRowLabel="Total" dataDxfId="28" totalsRowDxfId="17"/>
    <tableColumn id="2" xr3:uid="{0A468034-BC08-4E7B-9CFB-427F17C9BD91}" name="Muc_Uu_Tien" dataDxfId="27" totalsRowDxfId="16"/>
    <tableColumn id="3" xr3:uid="{6E4B355C-7DE0-4F0F-863C-8B8DBE09FB05}" name="Ten_Mien_Ap_Dung" dataDxfId="26" totalsRowDxfId="15"/>
    <tableColumn id="4" xr3:uid="{73BA9FCE-CAA1-44B5-AEDC-FBA3016D993B}" name="Don_Vi_Phu_Trach" dataDxfId="25" totalsRowDxfId="14"/>
    <tableColumn id="5" xr3:uid="{3EBC054D-C8CE-42A9-A1DD-CAD55B4FAF51}" name="So_URL_Anh_Huong" totalsRowFunction="sum" dataDxfId="24" totalsRowDxfId="13"/>
    <tableColumn id="6" xr3:uid="{9C2E9C68-93E8-4F37-8D27-813FE0D07C4A}" name="Van_De_GSC_Ghi_Nhan" dataDxfId="23" totalsRowDxfId="12"/>
    <tableColumn id="7" xr3:uid="{44E455A7-ECBD-4086-9443-8587E5DAA73C}" name="Nguyen_Nhan_Goc_Ky_Thuat" dataDxfId="22" totalsRowDxfId="11"/>
    <tableColumn id="8" xr3:uid="{CF912C6C-8031-4D45-88F7-D1D708E1DA5A}" name="Yeu_Cau_Ky_Thuat_Chi_Tiet" dataDxfId="21" totalsRowDxfId="10"/>
    <tableColumn id="9" xr3:uid="{13E5147A-7259-40CE-A5D2-83BA8B5FAE3B}" name="Trang_Thai" totalsRowFunction="count" dataDxfId="20" totalsRow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F4B49-6376-428F-AF4A-F4177AAF6A66}" name="BangTop10TrangErx" displayName="BangTop10TrangErx" ref="A9:I20" totalsRowCount="1" headerRowDxfId="38" dataDxfId="39">
  <autoFilter ref="A9:I19" xr:uid="{09FF4B49-6376-428F-AF4A-F4177AAF6A66}"/>
  <tableColumns count="9">
    <tableColumn id="1" xr3:uid="{67F39C52-7DAB-439D-B846-A3B0171FF057}" name="STT" totalsRowLabel="Total" dataDxfId="48" totalsRowDxfId="37"/>
    <tableColumn id="2" xr3:uid="{58AB93F1-B72D-49CA-9E5A-F68E573ECC4B}" name="URL_Trang_Erx_Vn" dataDxfId="47" totalsRowDxfId="36"/>
    <tableColumn id="3" xr3:uid="{BE459FDA-00CE-4964-9A1B-70450D9103AD}" name="Clicks_3T" totalsRowFunction="sum" dataDxfId="46" totalsRowDxfId="35"/>
    <tableColumn id="4" xr3:uid="{9B5DAFF8-5EB0-4720-9DA8-9AA57829ED35}" name="Impressions_3T" totalsRowFunction="sum" dataDxfId="45" totalsRowDxfId="34"/>
    <tableColumn id="5" xr3:uid="{68B29FE9-9555-4647-9967-D4708357DF30}" name="CTR_Hien_Tai_Pct" dataDxfId="44" totalsRowDxfId="33"/>
    <tableColumn id="6" xr3:uid="{5AB79C10-09B3-4818-BB1B-EA41D7293DCD}" name="Vi_Tri_TB" dataDxfId="43" totalsRowDxfId="32"/>
    <tableColumn id="7" xr3:uid="{9129C878-2E8C-4159-B3B7-3450117BC641}" name="Clicks_Ky_Vong_6Pct" totalsRowFunction="sum" dataDxfId="42" totalsRowDxfId="31"/>
    <tableColumn id="8" xr3:uid="{37198362-3EFF-4E5D-B229-918F3E82754A}" name="De_Xuat_Title_Moi_Chuan_SEO" dataDxfId="41" totalsRowDxfId="30"/>
    <tableColumn id="9" xr3:uid="{10B25913-FBEC-473C-8E85-92C96A8C2BCF}" name="De_Xuat_Meta_Description_Moi_155_160_Ky_Tu" totalsRowFunction="count" dataDxfId="40" totalsRowDxfId="2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523D-2AD9-4976-953E-7B770C3F0322}">
  <sheetPr>
    <tabColor rgb="FF2E8B57"/>
  </sheetPr>
  <dimension ref="A1:K46"/>
  <sheetViews>
    <sheetView workbookViewId="0"/>
  </sheetViews>
  <sheetFormatPr defaultRowHeight="14.25" x14ac:dyDescent="0.25"/>
  <cols>
    <col min="1" max="1" width="104.140625" style="1" bestFit="1" customWidth="1"/>
    <col min="2" max="2" width="255.7109375" style="1" bestFit="1" customWidth="1"/>
    <col min="3" max="3" width="17.5703125" style="1" bestFit="1" customWidth="1"/>
    <col min="4" max="4" width="84.7109375" style="1" bestFit="1" customWidth="1"/>
    <col min="5" max="5" width="118.85546875" style="1" bestFit="1" customWidth="1"/>
    <col min="6" max="6" width="143.28515625" style="1" bestFit="1" customWidth="1"/>
    <col min="7" max="7" width="24.7109375" style="1" bestFit="1" customWidth="1"/>
    <col min="8" max="16384" width="9.140625" style="1"/>
  </cols>
  <sheetData>
    <row r="1" spans="1:11" x14ac:dyDescent="0.25">
      <c r="A1" s="2" t="s">
        <v>99</v>
      </c>
      <c r="B1" s="3"/>
      <c r="C1" s="3"/>
      <c r="D1" s="3"/>
      <c r="E1" s="3"/>
      <c r="F1" s="3"/>
      <c r="G1" s="3"/>
      <c r="H1" s="3"/>
      <c r="I1" s="3"/>
      <c r="J1" s="3"/>
      <c r="K1" s="3"/>
    </row>
    <row r="2" spans="1:11" x14ac:dyDescent="0.25">
      <c r="A2" s="3"/>
      <c r="B2" s="3"/>
      <c r="C2" s="3"/>
      <c r="D2" s="3"/>
      <c r="E2" s="3"/>
      <c r="F2" s="3"/>
      <c r="G2" s="3"/>
      <c r="H2" s="3"/>
      <c r="I2" s="3"/>
      <c r="J2" s="3"/>
      <c r="K2" s="3"/>
    </row>
    <row r="3" spans="1:11" x14ac:dyDescent="0.25">
      <c r="A3" s="5" t="s">
        <v>100</v>
      </c>
    </row>
    <row r="5" spans="1:11" x14ac:dyDescent="0.25">
      <c r="A5" s="4" t="s">
        <v>2</v>
      </c>
      <c r="B5" s="4" t="s">
        <v>101</v>
      </c>
      <c r="C5" s="4" t="s">
        <v>102</v>
      </c>
      <c r="D5" s="4" t="s">
        <v>103</v>
      </c>
      <c r="E5" s="4" t="s">
        <v>104</v>
      </c>
      <c r="F5" s="4" t="s">
        <v>105</v>
      </c>
      <c r="G5" s="4" t="s">
        <v>52</v>
      </c>
    </row>
    <row r="6" spans="1:11" x14ac:dyDescent="0.25">
      <c r="A6" s="1">
        <v>1</v>
      </c>
      <c r="B6" s="4" t="s">
        <v>106</v>
      </c>
      <c r="C6" s="4" t="s">
        <v>55</v>
      </c>
      <c r="D6" s="4" t="s">
        <v>107</v>
      </c>
      <c r="E6" s="4" t="s">
        <v>108</v>
      </c>
      <c r="F6" s="4" t="s">
        <v>109</v>
      </c>
      <c r="G6" s="4" t="s">
        <v>60</v>
      </c>
    </row>
    <row r="7" spans="1:11" x14ac:dyDescent="0.25">
      <c r="A7" s="1">
        <v>2</v>
      </c>
      <c r="B7" s="4" t="s">
        <v>110</v>
      </c>
      <c r="C7" s="4" t="s">
        <v>55</v>
      </c>
      <c r="D7" s="4" t="s">
        <v>107</v>
      </c>
      <c r="E7" s="4" t="s">
        <v>111</v>
      </c>
      <c r="F7" s="4" t="s">
        <v>112</v>
      </c>
      <c r="G7" s="4" t="s">
        <v>60</v>
      </c>
    </row>
    <row r="8" spans="1:11" x14ac:dyDescent="0.25">
      <c r="A8" s="1">
        <v>3</v>
      </c>
      <c r="B8" s="4" t="s">
        <v>113</v>
      </c>
      <c r="C8" s="4" t="s">
        <v>55</v>
      </c>
      <c r="D8" s="4" t="s">
        <v>107</v>
      </c>
      <c r="E8" s="4" t="s">
        <v>114</v>
      </c>
      <c r="F8" s="4" t="s">
        <v>115</v>
      </c>
      <c r="G8" s="4" t="s">
        <v>60</v>
      </c>
    </row>
    <row r="9" spans="1:11" x14ac:dyDescent="0.25">
      <c r="A9" s="1">
        <v>4</v>
      </c>
      <c r="B9" s="4" t="s">
        <v>116</v>
      </c>
      <c r="C9" s="4" t="s">
        <v>55</v>
      </c>
      <c r="D9" s="4" t="s">
        <v>107</v>
      </c>
      <c r="E9" s="4" t="s">
        <v>114</v>
      </c>
      <c r="F9" s="4" t="s">
        <v>115</v>
      </c>
      <c r="G9" s="4" t="s">
        <v>60</v>
      </c>
    </row>
    <row r="10" spans="1:11" x14ac:dyDescent="0.25">
      <c r="A10" s="1">
        <v>5</v>
      </c>
      <c r="B10" s="4" t="s">
        <v>117</v>
      </c>
      <c r="C10" s="4" t="s">
        <v>55</v>
      </c>
      <c r="D10" s="4" t="s">
        <v>107</v>
      </c>
      <c r="E10" s="4" t="s">
        <v>118</v>
      </c>
      <c r="F10" s="4" t="s">
        <v>119</v>
      </c>
      <c r="G10" s="4" t="s">
        <v>60</v>
      </c>
    </row>
    <row r="11" spans="1:11" x14ac:dyDescent="0.25">
      <c r="A11" s="1">
        <v>6</v>
      </c>
      <c r="B11" s="4" t="s">
        <v>120</v>
      </c>
      <c r="C11" s="4" t="s">
        <v>55</v>
      </c>
      <c r="D11" s="4" t="s">
        <v>107</v>
      </c>
      <c r="E11" s="4" t="s">
        <v>121</v>
      </c>
      <c r="F11" s="4" t="s">
        <v>122</v>
      </c>
      <c r="G11" s="4" t="s">
        <v>60</v>
      </c>
    </row>
    <row r="12" spans="1:11" x14ac:dyDescent="0.25">
      <c r="A12" s="1">
        <v>7</v>
      </c>
      <c r="B12" s="4" t="s">
        <v>123</v>
      </c>
      <c r="C12" s="4" t="s">
        <v>55</v>
      </c>
      <c r="D12" s="4" t="s">
        <v>107</v>
      </c>
      <c r="E12" s="4" t="s">
        <v>121</v>
      </c>
      <c r="F12" s="4" t="s">
        <v>124</v>
      </c>
      <c r="G12" s="4" t="s">
        <v>60</v>
      </c>
    </row>
    <row r="13" spans="1:11" x14ac:dyDescent="0.25">
      <c r="A13" s="1">
        <v>8</v>
      </c>
      <c r="B13" s="4" t="s">
        <v>125</v>
      </c>
      <c r="C13" s="4" t="s">
        <v>55</v>
      </c>
      <c r="D13" s="4" t="s">
        <v>107</v>
      </c>
      <c r="E13" s="4" t="s">
        <v>121</v>
      </c>
      <c r="F13" s="4" t="s">
        <v>124</v>
      </c>
      <c r="G13" s="4" t="s">
        <v>60</v>
      </c>
    </row>
    <row r="14" spans="1:11" x14ac:dyDescent="0.25">
      <c r="A14" s="1">
        <v>9</v>
      </c>
      <c r="B14" s="4" t="s">
        <v>126</v>
      </c>
      <c r="C14" s="4" t="s">
        <v>55</v>
      </c>
      <c r="D14" s="4" t="s">
        <v>107</v>
      </c>
      <c r="E14" s="4" t="s">
        <v>121</v>
      </c>
      <c r="F14" s="4" t="s">
        <v>127</v>
      </c>
      <c r="G14" s="4" t="s">
        <v>60</v>
      </c>
    </row>
    <row r="15" spans="1:11" x14ac:dyDescent="0.25">
      <c r="A15" s="1">
        <v>10</v>
      </c>
      <c r="B15" s="4" t="s">
        <v>128</v>
      </c>
      <c r="C15" s="4" t="s">
        <v>55</v>
      </c>
      <c r="D15" s="4" t="s">
        <v>107</v>
      </c>
      <c r="E15" s="4" t="s">
        <v>121</v>
      </c>
      <c r="F15" s="4" t="s">
        <v>127</v>
      </c>
      <c r="G15" s="4" t="s">
        <v>60</v>
      </c>
    </row>
    <row r="16" spans="1:11" x14ac:dyDescent="0.25">
      <c r="A16" s="1">
        <v>11</v>
      </c>
      <c r="B16" s="4" t="s">
        <v>129</v>
      </c>
      <c r="C16" s="4" t="s">
        <v>130</v>
      </c>
      <c r="D16" s="4" t="s">
        <v>107</v>
      </c>
      <c r="E16" s="4" t="s">
        <v>131</v>
      </c>
      <c r="F16" s="4" t="s">
        <v>132</v>
      </c>
      <c r="G16" s="4" t="s">
        <v>60</v>
      </c>
    </row>
    <row r="17" spans="1:7" x14ac:dyDescent="0.25">
      <c r="A17" s="1">
        <v>12</v>
      </c>
      <c r="B17" s="4" t="s">
        <v>133</v>
      </c>
      <c r="C17" s="4" t="s">
        <v>55</v>
      </c>
      <c r="D17" s="4" t="s">
        <v>107</v>
      </c>
      <c r="E17" s="4" t="s">
        <v>134</v>
      </c>
      <c r="F17" s="4" t="s">
        <v>135</v>
      </c>
      <c r="G17" s="4" t="s">
        <v>60</v>
      </c>
    </row>
    <row r="18" spans="1:7" x14ac:dyDescent="0.25">
      <c r="A18" s="1">
        <v>13</v>
      </c>
      <c r="B18" s="4" t="s">
        <v>136</v>
      </c>
      <c r="C18" s="4" t="s">
        <v>55</v>
      </c>
      <c r="D18" s="4" t="s">
        <v>107</v>
      </c>
      <c r="E18" s="4" t="s">
        <v>134</v>
      </c>
      <c r="F18" s="4" t="s">
        <v>137</v>
      </c>
      <c r="G18" s="4" t="s">
        <v>60</v>
      </c>
    </row>
    <row r="19" spans="1:7" x14ac:dyDescent="0.25">
      <c r="A19" s="1">
        <v>14</v>
      </c>
      <c r="B19" s="4" t="s">
        <v>138</v>
      </c>
      <c r="C19" s="4" t="s">
        <v>55</v>
      </c>
      <c r="D19" s="4" t="s">
        <v>107</v>
      </c>
      <c r="E19" s="4" t="s">
        <v>134</v>
      </c>
      <c r="F19" s="4" t="s">
        <v>139</v>
      </c>
      <c r="G19" s="4" t="s">
        <v>60</v>
      </c>
    </row>
    <row r="20" spans="1:7" x14ac:dyDescent="0.25">
      <c r="A20" s="1">
        <v>15</v>
      </c>
      <c r="B20" s="4" t="s">
        <v>140</v>
      </c>
      <c r="C20" s="4" t="s">
        <v>55</v>
      </c>
      <c r="D20" s="4" t="s">
        <v>107</v>
      </c>
      <c r="E20" s="4" t="s">
        <v>134</v>
      </c>
      <c r="F20" s="4" t="s">
        <v>141</v>
      </c>
      <c r="G20" s="4" t="s">
        <v>60</v>
      </c>
    </row>
    <row r="21" spans="1:7" x14ac:dyDescent="0.25">
      <c r="A21" s="1">
        <v>16</v>
      </c>
      <c r="B21" s="4" t="s">
        <v>142</v>
      </c>
      <c r="C21" s="4" t="s">
        <v>55</v>
      </c>
      <c r="D21" s="4" t="s">
        <v>107</v>
      </c>
      <c r="E21" s="4" t="s">
        <v>134</v>
      </c>
      <c r="F21" s="4" t="s">
        <v>143</v>
      </c>
      <c r="G21" s="4" t="s">
        <v>60</v>
      </c>
    </row>
    <row r="22" spans="1:7" x14ac:dyDescent="0.25">
      <c r="A22" s="1">
        <v>17</v>
      </c>
      <c r="B22" s="4" t="s">
        <v>144</v>
      </c>
      <c r="C22" s="4" t="s">
        <v>55</v>
      </c>
      <c r="D22" s="4" t="s">
        <v>107</v>
      </c>
      <c r="E22" s="4" t="s">
        <v>134</v>
      </c>
      <c r="F22" s="4" t="s">
        <v>145</v>
      </c>
      <c r="G22" s="4" t="s">
        <v>60</v>
      </c>
    </row>
    <row r="23" spans="1:7" x14ac:dyDescent="0.25">
      <c r="A23" s="1">
        <v>18</v>
      </c>
      <c r="B23" s="4" t="s">
        <v>146</v>
      </c>
      <c r="C23" s="4" t="s">
        <v>55</v>
      </c>
      <c r="D23" s="4" t="s">
        <v>107</v>
      </c>
      <c r="E23" s="4" t="s">
        <v>134</v>
      </c>
      <c r="F23" s="4" t="s">
        <v>147</v>
      </c>
      <c r="G23" s="4" t="s">
        <v>60</v>
      </c>
    </row>
    <row r="24" spans="1:7" x14ac:dyDescent="0.25">
      <c r="A24" s="1">
        <v>19</v>
      </c>
      <c r="B24" s="4" t="s">
        <v>148</v>
      </c>
      <c r="C24" s="4" t="s">
        <v>55</v>
      </c>
      <c r="D24" s="4" t="s">
        <v>107</v>
      </c>
      <c r="E24" s="4" t="s">
        <v>134</v>
      </c>
      <c r="F24" s="4" t="s">
        <v>149</v>
      </c>
      <c r="G24" s="4" t="s">
        <v>60</v>
      </c>
    </row>
    <row r="25" spans="1:7" x14ac:dyDescent="0.25">
      <c r="A25" s="1">
        <v>20</v>
      </c>
      <c r="B25" s="4" t="s">
        <v>150</v>
      </c>
      <c r="C25" s="4" t="s">
        <v>55</v>
      </c>
      <c r="D25" s="4" t="s">
        <v>107</v>
      </c>
      <c r="E25" s="4" t="s">
        <v>134</v>
      </c>
      <c r="F25" s="4" t="s">
        <v>151</v>
      </c>
      <c r="G25" s="4" t="s">
        <v>60</v>
      </c>
    </row>
    <row r="26" spans="1:7" x14ac:dyDescent="0.25">
      <c r="A26" s="1">
        <v>21</v>
      </c>
      <c r="B26" s="4" t="s">
        <v>152</v>
      </c>
      <c r="C26" s="4" t="s">
        <v>76</v>
      </c>
      <c r="D26" s="4" t="s">
        <v>107</v>
      </c>
      <c r="E26" s="4" t="s">
        <v>153</v>
      </c>
      <c r="F26" s="4" t="s">
        <v>154</v>
      </c>
      <c r="G26" s="4" t="s">
        <v>60</v>
      </c>
    </row>
    <row r="27" spans="1:7" x14ac:dyDescent="0.25">
      <c r="A27" s="1">
        <v>22</v>
      </c>
      <c r="B27" s="4" t="s">
        <v>155</v>
      </c>
      <c r="C27" s="4" t="s">
        <v>76</v>
      </c>
      <c r="D27" s="4" t="s">
        <v>107</v>
      </c>
      <c r="E27" s="4" t="s">
        <v>153</v>
      </c>
      <c r="F27" s="4" t="s">
        <v>156</v>
      </c>
      <c r="G27" s="4" t="s">
        <v>60</v>
      </c>
    </row>
    <row r="28" spans="1:7" x14ac:dyDescent="0.25">
      <c r="A28" s="1">
        <v>23</v>
      </c>
      <c r="B28" s="4" t="s">
        <v>157</v>
      </c>
      <c r="C28" s="4" t="s">
        <v>76</v>
      </c>
      <c r="D28" s="4" t="s">
        <v>107</v>
      </c>
      <c r="E28" s="4" t="s">
        <v>153</v>
      </c>
      <c r="F28" s="4" t="s">
        <v>158</v>
      </c>
      <c r="G28" s="4" t="s">
        <v>60</v>
      </c>
    </row>
    <row r="29" spans="1:7" x14ac:dyDescent="0.25">
      <c r="A29" s="1">
        <v>24</v>
      </c>
      <c r="B29" s="4" t="s">
        <v>159</v>
      </c>
      <c r="C29" s="4" t="s">
        <v>76</v>
      </c>
      <c r="D29" s="4" t="s">
        <v>107</v>
      </c>
      <c r="E29" s="4" t="s">
        <v>160</v>
      </c>
      <c r="F29" s="4" t="s">
        <v>161</v>
      </c>
      <c r="G29" s="4" t="s">
        <v>60</v>
      </c>
    </row>
    <row r="30" spans="1:7" x14ac:dyDescent="0.25">
      <c r="A30" s="1">
        <v>25</v>
      </c>
      <c r="B30" s="4" t="s">
        <v>162</v>
      </c>
      <c r="C30" s="4" t="s">
        <v>55</v>
      </c>
      <c r="D30" s="4" t="s">
        <v>107</v>
      </c>
      <c r="E30" s="4" t="s">
        <v>163</v>
      </c>
      <c r="F30" s="4" t="s">
        <v>164</v>
      </c>
      <c r="G30" s="4" t="s">
        <v>60</v>
      </c>
    </row>
    <row r="31" spans="1:7" x14ac:dyDescent="0.25">
      <c r="A31" s="1">
        <v>26</v>
      </c>
      <c r="B31" s="4" t="s">
        <v>165</v>
      </c>
      <c r="C31" s="4" t="s">
        <v>55</v>
      </c>
      <c r="D31" s="4" t="s">
        <v>107</v>
      </c>
      <c r="E31" s="4" t="s">
        <v>163</v>
      </c>
      <c r="F31" s="4" t="s">
        <v>166</v>
      </c>
      <c r="G31" s="4" t="s">
        <v>60</v>
      </c>
    </row>
    <row r="32" spans="1:7" x14ac:dyDescent="0.25">
      <c r="A32" s="1">
        <v>27</v>
      </c>
      <c r="B32" s="4" t="s">
        <v>167</v>
      </c>
      <c r="C32" s="4" t="s">
        <v>55</v>
      </c>
      <c r="D32" s="4" t="s">
        <v>107</v>
      </c>
      <c r="E32" s="4" t="s">
        <v>163</v>
      </c>
      <c r="F32" s="4" t="s">
        <v>168</v>
      </c>
      <c r="G32" s="4" t="s">
        <v>60</v>
      </c>
    </row>
    <row r="33" spans="1:7" x14ac:dyDescent="0.25">
      <c r="A33" s="1">
        <v>28</v>
      </c>
      <c r="B33" s="4" t="s">
        <v>169</v>
      </c>
      <c r="C33" s="4" t="s">
        <v>55</v>
      </c>
      <c r="D33" s="4" t="s">
        <v>107</v>
      </c>
      <c r="E33" s="4" t="s">
        <v>170</v>
      </c>
      <c r="F33" s="4" t="s">
        <v>171</v>
      </c>
      <c r="G33" s="4" t="s">
        <v>60</v>
      </c>
    </row>
    <row r="34" spans="1:7" x14ac:dyDescent="0.25">
      <c r="A34" s="1">
        <v>29</v>
      </c>
      <c r="B34" s="4" t="s">
        <v>172</v>
      </c>
      <c r="C34" s="4" t="s">
        <v>55</v>
      </c>
      <c r="D34" s="4" t="s">
        <v>107</v>
      </c>
      <c r="E34" s="4" t="s">
        <v>170</v>
      </c>
      <c r="F34" s="4" t="s">
        <v>171</v>
      </c>
      <c r="G34" s="4" t="s">
        <v>60</v>
      </c>
    </row>
    <row r="35" spans="1:7" x14ac:dyDescent="0.25">
      <c r="A35" s="1">
        <v>30</v>
      </c>
      <c r="B35" s="4" t="s">
        <v>173</v>
      </c>
      <c r="C35" s="4" t="s">
        <v>55</v>
      </c>
      <c r="D35" s="4" t="s">
        <v>107</v>
      </c>
      <c r="E35" s="4" t="s">
        <v>170</v>
      </c>
      <c r="F35" s="4" t="s">
        <v>171</v>
      </c>
      <c r="G35" s="4" t="s">
        <v>60</v>
      </c>
    </row>
    <row r="36" spans="1:7" x14ac:dyDescent="0.25">
      <c r="A36" s="1">
        <v>31</v>
      </c>
      <c r="B36" s="4" t="s">
        <v>174</v>
      </c>
      <c r="C36" s="4" t="s">
        <v>55</v>
      </c>
      <c r="D36" s="4" t="s">
        <v>107</v>
      </c>
      <c r="E36" s="4" t="s">
        <v>170</v>
      </c>
      <c r="F36" s="4" t="s">
        <v>171</v>
      </c>
      <c r="G36" s="4" t="s">
        <v>60</v>
      </c>
    </row>
    <row r="37" spans="1:7" x14ac:dyDescent="0.25">
      <c r="A37" s="1">
        <v>32</v>
      </c>
      <c r="B37" s="4" t="s">
        <v>175</v>
      </c>
      <c r="C37" s="4" t="s">
        <v>55</v>
      </c>
      <c r="D37" s="4" t="s">
        <v>107</v>
      </c>
      <c r="E37" s="4" t="s">
        <v>176</v>
      </c>
      <c r="F37" s="4" t="s">
        <v>177</v>
      </c>
      <c r="G37" s="4" t="s">
        <v>60</v>
      </c>
    </row>
    <row r="38" spans="1:7" x14ac:dyDescent="0.25">
      <c r="A38" s="1">
        <v>33</v>
      </c>
      <c r="B38" s="4" t="s">
        <v>178</v>
      </c>
      <c r="C38" s="4" t="s">
        <v>55</v>
      </c>
      <c r="D38" s="4" t="s">
        <v>107</v>
      </c>
      <c r="E38" s="4" t="s">
        <v>179</v>
      </c>
      <c r="F38" s="4" t="s">
        <v>180</v>
      </c>
      <c r="G38" s="4" t="s">
        <v>60</v>
      </c>
    </row>
    <row r="39" spans="1:7" x14ac:dyDescent="0.25">
      <c r="A39" s="1">
        <v>34</v>
      </c>
      <c r="B39" s="4" t="s">
        <v>181</v>
      </c>
      <c r="C39" s="4" t="s">
        <v>55</v>
      </c>
      <c r="D39" s="4" t="s">
        <v>107</v>
      </c>
      <c r="E39" s="4" t="s">
        <v>182</v>
      </c>
      <c r="F39" s="4" t="s">
        <v>183</v>
      </c>
      <c r="G39" s="4" t="s">
        <v>60</v>
      </c>
    </row>
    <row r="40" spans="1:7" x14ac:dyDescent="0.25">
      <c r="A40" s="1">
        <v>35</v>
      </c>
      <c r="B40" s="4" t="s">
        <v>184</v>
      </c>
      <c r="C40" s="4" t="s">
        <v>55</v>
      </c>
      <c r="D40" s="4" t="s">
        <v>185</v>
      </c>
      <c r="E40" s="4" t="s">
        <v>186</v>
      </c>
      <c r="F40" s="4" t="s">
        <v>187</v>
      </c>
      <c r="G40" s="4" t="s">
        <v>60</v>
      </c>
    </row>
    <row r="41" spans="1:7" x14ac:dyDescent="0.25">
      <c r="A41" s="1">
        <v>36</v>
      </c>
      <c r="B41" s="4" t="s">
        <v>188</v>
      </c>
      <c r="C41" s="4" t="s">
        <v>55</v>
      </c>
      <c r="D41" s="4" t="s">
        <v>189</v>
      </c>
      <c r="E41" s="4" t="s">
        <v>190</v>
      </c>
      <c r="F41" s="4" t="s">
        <v>191</v>
      </c>
      <c r="G41" s="4" t="s">
        <v>60</v>
      </c>
    </row>
    <row r="42" spans="1:7" x14ac:dyDescent="0.25">
      <c r="A42" s="1">
        <v>37</v>
      </c>
      <c r="B42" s="4" t="s">
        <v>192</v>
      </c>
      <c r="C42" s="4" t="s">
        <v>76</v>
      </c>
      <c r="D42" s="4" t="s">
        <v>193</v>
      </c>
      <c r="E42" s="4" t="s">
        <v>194</v>
      </c>
      <c r="F42" s="4" t="s">
        <v>195</v>
      </c>
      <c r="G42" s="4" t="s">
        <v>60</v>
      </c>
    </row>
    <row r="43" spans="1:7" x14ac:dyDescent="0.25">
      <c r="A43" s="1">
        <v>38</v>
      </c>
      <c r="B43" s="4" t="s">
        <v>196</v>
      </c>
      <c r="C43" s="4" t="s">
        <v>76</v>
      </c>
      <c r="D43" s="4" t="s">
        <v>197</v>
      </c>
      <c r="E43" s="4" t="s">
        <v>198</v>
      </c>
      <c r="F43" s="4" t="s">
        <v>199</v>
      </c>
      <c r="G43" s="4" t="s">
        <v>60</v>
      </c>
    </row>
    <row r="44" spans="1:7" x14ac:dyDescent="0.25">
      <c r="A44" s="1">
        <v>39</v>
      </c>
      <c r="B44" s="4" t="s">
        <v>200</v>
      </c>
      <c r="C44" s="4" t="s">
        <v>89</v>
      </c>
      <c r="D44" s="4" t="s">
        <v>193</v>
      </c>
      <c r="E44" s="4" t="s">
        <v>201</v>
      </c>
      <c r="F44" s="4" t="s">
        <v>202</v>
      </c>
      <c r="G44" s="4" t="s">
        <v>87</v>
      </c>
    </row>
    <row r="45" spans="1:7" x14ac:dyDescent="0.25">
      <c r="A45" s="1">
        <v>40</v>
      </c>
      <c r="B45" s="4" t="s">
        <v>203</v>
      </c>
      <c r="C45" s="4" t="s">
        <v>55</v>
      </c>
      <c r="D45" s="4" t="s">
        <v>204</v>
      </c>
      <c r="E45" s="4" t="s">
        <v>205</v>
      </c>
      <c r="F45" s="4" t="s">
        <v>206</v>
      </c>
      <c r="G45" s="4" t="s">
        <v>60</v>
      </c>
    </row>
    <row r="46" spans="1:7" x14ac:dyDescent="0.25">
      <c r="A46" s="1">
        <v>41</v>
      </c>
      <c r="B46" s="4" t="s">
        <v>207</v>
      </c>
      <c r="C46" s="4" t="s">
        <v>82</v>
      </c>
      <c r="D46" s="4" t="s">
        <v>208</v>
      </c>
      <c r="E46" s="4" t="s">
        <v>209</v>
      </c>
      <c r="F46" s="4" t="s">
        <v>210</v>
      </c>
      <c r="G46" s="4" t="s">
        <v>87</v>
      </c>
    </row>
  </sheetData>
  <mergeCells count="1">
    <mergeCell ref="A1:K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868F-DAF8-4409-8923-FC96BBFC53C0}">
  <sheetPr>
    <tabColor rgb="FFC0392B"/>
  </sheetPr>
  <dimension ref="A1:K14"/>
  <sheetViews>
    <sheetView workbookViewId="0"/>
  </sheetViews>
  <sheetFormatPr defaultRowHeight="14.25" x14ac:dyDescent="0.25"/>
  <cols>
    <col min="1" max="1" width="84" style="1" bestFit="1" customWidth="1"/>
    <col min="2" max="2" width="14.7109375" style="1" bestFit="1" customWidth="1"/>
    <col min="3" max="3" width="21" style="1" bestFit="1" customWidth="1"/>
    <col min="4" max="4" width="38.42578125" style="1" bestFit="1" customWidth="1"/>
    <col min="5" max="5" width="20.85546875" style="1" bestFit="1" customWidth="1"/>
    <col min="6" max="6" width="114.85546875" style="1" bestFit="1" customWidth="1"/>
    <col min="7" max="7" width="216.85546875" style="1" bestFit="1" customWidth="1"/>
    <col min="8" max="8" width="239.7109375" style="1" bestFit="1" customWidth="1"/>
    <col min="9" max="9" width="24.7109375" style="1" bestFit="1" customWidth="1"/>
    <col min="10" max="16384" width="9.140625" style="1"/>
  </cols>
  <sheetData>
    <row r="1" spans="1:11" x14ac:dyDescent="0.25">
      <c r="A1" s="2" t="s">
        <v>42</v>
      </c>
      <c r="B1" s="3"/>
      <c r="C1" s="3"/>
      <c r="D1" s="3"/>
      <c r="E1" s="3"/>
      <c r="F1" s="3"/>
      <c r="G1" s="3"/>
      <c r="H1" s="3"/>
      <c r="I1" s="3"/>
      <c r="J1" s="3"/>
      <c r="K1" s="3"/>
    </row>
    <row r="2" spans="1:11" x14ac:dyDescent="0.25">
      <c r="A2" s="3"/>
      <c r="B2" s="3"/>
      <c r="C2" s="3"/>
      <c r="D2" s="3"/>
      <c r="E2" s="3"/>
      <c r="F2" s="3"/>
      <c r="G2" s="3"/>
      <c r="H2" s="3"/>
      <c r="I2" s="3"/>
      <c r="J2" s="3"/>
      <c r="K2" s="3"/>
    </row>
    <row r="3" spans="1:11" x14ac:dyDescent="0.25">
      <c r="A3" s="5" t="s">
        <v>43</v>
      </c>
    </row>
    <row r="5" spans="1:11" x14ac:dyDescent="0.25">
      <c r="A5" s="4" t="s">
        <v>44</v>
      </c>
      <c r="B5" s="4" t="s">
        <v>45</v>
      </c>
      <c r="C5" s="4" t="s">
        <v>46</v>
      </c>
      <c r="D5" s="4" t="s">
        <v>47</v>
      </c>
      <c r="E5" s="4" t="s">
        <v>48</v>
      </c>
      <c r="F5" s="4" t="s">
        <v>49</v>
      </c>
      <c r="G5" s="4" t="s">
        <v>50</v>
      </c>
      <c r="H5" s="4" t="s">
        <v>51</v>
      </c>
      <c r="I5" s="4" t="s">
        <v>52</v>
      </c>
    </row>
    <row r="6" spans="1:11" x14ac:dyDescent="0.25">
      <c r="A6" s="4" t="s">
        <v>53</v>
      </c>
      <c r="B6" s="4" t="s">
        <v>54</v>
      </c>
      <c r="C6" s="4" t="s">
        <v>55</v>
      </c>
      <c r="D6" s="4" t="s">
        <v>56</v>
      </c>
      <c r="E6" s="1">
        <v>137</v>
      </c>
      <c r="F6" s="4" t="s">
        <v>57</v>
      </c>
      <c r="G6" s="4" t="s">
        <v>58</v>
      </c>
      <c r="H6" s="4" t="s">
        <v>59</v>
      </c>
      <c r="I6" s="4" t="s">
        <v>60</v>
      </c>
    </row>
    <row r="7" spans="1:11" x14ac:dyDescent="0.25">
      <c r="A7" s="4" t="s">
        <v>61</v>
      </c>
      <c r="B7" s="4" t="s">
        <v>54</v>
      </c>
      <c r="C7" s="4" t="s">
        <v>55</v>
      </c>
      <c r="D7" s="4" t="s">
        <v>56</v>
      </c>
      <c r="E7" s="1">
        <v>199</v>
      </c>
      <c r="F7" s="4" t="s">
        <v>62</v>
      </c>
      <c r="G7" s="4" t="s">
        <v>63</v>
      </c>
      <c r="H7" s="4" t="s">
        <v>64</v>
      </c>
      <c r="I7" s="4" t="s">
        <v>60</v>
      </c>
    </row>
    <row r="8" spans="1:11" x14ac:dyDescent="0.25">
      <c r="A8" s="4" t="s">
        <v>65</v>
      </c>
      <c r="B8" s="4" t="s">
        <v>66</v>
      </c>
      <c r="C8" s="4" t="s">
        <v>55</v>
      </c>
      <c r="D8" s="4" t="s">
        <v>56</v>
      </c>
      <c r="E8" s="1">
        <v>49</v>
      </c>
      <c r="F8" s="4" t="s">
        <v>67</v>
      </c>
      <c r="G8" s="4" t="s">
        <v>68</v>
      </c>
      <c r="H8" s="4" t="s">
        <v>69</v>
      </c>
      <c r="I8" s="4" t="s">
        <v>60</v>
      </c>
    </row>
    <row r="9" spans="1:11" x14ac:dyDescent="0.25">
      <c r="A9" s="4" t="s">
        <v>70</v>
      </c>
      <c r="B9" s="4" t="s">
        <v>66</v>
      </c>
      <c r="C9" s="4" t="s">
        <v>71</v>
      </c>
      <c r="D9" s="4" t="s">
        <v>56</v>
      </c>
      <c r="E9" s="1">
        <v>32</v>
      </c>
      <c r="F9" s="4" t="s">
        <v>72</v>
      </c>
      <c r="G9" s="4" t="s">
        <v>73</v>
      </c>
      <c r="H9" s="4" t="s">
        <v>74</v>
      </c>
      <c r="I9" s="4" t="s">
        <v>60</v>
      </c>
    </row>
    <row r="10" spans="1:11" x14ac:dyDescent="0.25">
      <c r="A10" s="4" t="s">
        <v>75</v>
      </c>
      <c r="B10" s="4" t="s">
        <v>66</v>
      </c>
      <c r="C10" s="4" t="s">
        <v>76</v>
      </c>
      <c r="D10" s="4" t="s">
        <v>77</v>
      </c>
      <c r="E10" s="1">
        <v>26</v>
      </c>
      <c r="F10" s="4" t="s">
        <v>78</v>
      </c>
      <c r="G10" s="4" t="s">
        <v>79</v>
      </c>
      <c r="H10" s="4" t="s">
        <v>80</v>
      </c>
      <c r="I10" s="4" t="s">
        <v>60</v>
      </c>
    </row>
    <row r="11" spans="1:11" x14ac:dyDescent="0.25">
      <c r="A11" s="4" t="s">
        <v>81</v>
      </c>
      <c r="B11" s="4" t="s">
        <v>54</v>
      </c>
      <c r="C11" s="4" t="s">
        <v>82</v>
      </c>
      <c r="D11" s="4" t="s">
        <v>83</v>
      </c>
      <c r="E11" s="1">
        <v>84</v>
      </c>
      <c r="F11" s="4" t="s">
        <v>84</v>
      </c>
      <c r="G11" s="4" t="s">
        <v>85</v>
      </c>
      <c r="H11" s="4" t="s">
        <v>86</v>
      </c>
      <c r="I11" s="4" t="s">
        <v>87</v>
      </c>
    </row>
    <row r="12" spans="1:11" x14ac:dyDescent="0.25">
      <c r="A12" s="4" t="s">
        <v>88</v>
      </c>
      <c r="B12" s="4" t="s">
        <v>66</v>
      </c>
      <c r="C12" s="4" t="s">
        <v>89</v>
      </c>
      <c r="D12" s="4" t="s">
        <v>83</v>
      </c>
      <c r="E12" s="1">
        <v>1</v>
      </c>
      <c r="F12" s="4" t="s">
        <v>90</v>
      </c>
      <c r="G12" s="4" t="s">
        <v>91</v>
      </c>
      <c r="H12" s="4" t="s">
        <v>92</v>
      </c>
      <c r="I12" s="4" t="s">
        <v>87</v>
      </c>
    </row>
    <row r="13" spans="1:11" x14ac:dyDescent="0.25">
      <c r="A13" s="4" t="s">
        <v>93</v>
      </c>
      <c r="B13" s="4" t="s">
        <v>66</v>
      </c>
      <c r="C13" s="4" t="s">
        <v>94</v>
      </c>
      <c r="D13" s="4" t="s">
        <v>95</v>
      </c>
      <c r="E13" s="1">
        <v>4</v>
      </c>
      <c r="F13" s="4" t="s">
        <v>96</v>
      </c>
      <c r="G13" s="4" t="s">
        <v>97</v>
      </c>
      <c r="H13" s="4" t="s">
        <v>98</v>
      </c>
      <c r="I13" s="4" t="s">
        <v>87</v>
      </c>
    </row>
    <row r="14" spans="1:11" x14ac:dyDescent="0.25">
      <c r="A14" s="1" t="s">
        <v>41</v>
      </c>
      <c r="E14" s="1">
        <f>SUBTOTAL(109,BangChecklistKyThuat[So_URL_Anh_Huong])</f>
        <v>532</v>
      </c>
      <c r="I14" s="1">
        <f>SUBTOTAL(103,BangChecklistKyThuat[Trang_Thai])</f>
        <v>8</v>
      </c>
    </row>
  </sheetData>
  <mergeCells count="1">
    <mergeCell ref="A1:K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A2ED-F21E-4D2D-8018-7FCCE17FBC56}">
  <sheetPr>
    <tabColor rgb="FF1B365D"/>
  </sheetPr>
  <dimension ref="A1:K20"/>
  <sheetViews>
    <sheetView showGridLines="0" tabSelected="1" workbookViewId="0">
      <selection sqref="A1:K2"/>
    </sheetView>
  </sheetViews>
  <sheetFormatPr defaultRowHeight="14.25" x14ac:dyDescent="0.25"/>
  <cols>
    <col min="1" max="1" width="102.28515625" style="1" bestFit="1" customWidth="1"/>
    <col min="2" max="2" width="96" style="1" bestFit="1" customWidth="1"/>
    <col min="3" max="3" width="11.140625" style="1" bestFit="1" customWidth="1"/>
    <col min="4" max="4" width="16.85546875" style="1" bestFit="1" customWidth="1"/>
    <col min="5" max="5" width="18.5703125" style="1" bestFit="1" customWidth="1"/>
    <col min="6" max="6" width="11.28515625" style="1" bestFit="1" customWidth="1"/>
    <col min="7" max="7" width="21.28515625" style="1" bestFit="1" customWidth="1"/>
    <col min="8" max="8" width="86.5703125" style="1" bestFit="1" customWidth="1"/>
    <col min="9" max="9" width="154.85546875" style="1" bestFit="1" customWidth="1"/>
    <col min="10" max="16384" width="9.140625" style="1"/>
  </cols>
  <sheetData>
    <row r="1" spans="1:11" x14ac:dyDescent="0.25">
      <c r="A1" s="2" t="s">
        <v>0</v>
      </c>
      <c r="B1" s="3"/>
      <c r="C1" s="3"/>
      <c r="D1" s="3"/>
      <c r="E1" s="3"/>
      <c r="F1" s="3"/>
      <c r="G1" s="3"/>
      <c r="H1" s="3"/>
      <c r="I1" s="3"/>
      <c r="J1" s="3"/>
      <c r="K1" s="3"/>
    </row>
    <row r="2" spans="1:11" x14ac:dyDescent="0.25">
      <c r="A2" s="3"/>
      <c r="B2" s="3"/>
      <c r="C2" s="3"/>
      <c r="D2" s="3"/>
      <c r="E2" s="3"/>
      <c r="F2" s="3"/>
      <c r="G2" s="3"/>
      <c r="H2" s="3"/>
      <c r="I2" s="3"/>
      <c r="J2" s="3"/>
      <c r="K2" s="3"/>
    </row>
    <row r="3" spans="1:11" x14ac:dyDescent="0.25">
      <c r="A3" s="5" t="s">
        <v>1</v>
      </c>
    </row>
    <row r="4" spans="1:11" x14ac:dyDescent="0.25">
      <c r="A4" s="6" t="s">
        <v>211</v>
      </c>
      <c r="B4" s="7"/>
      <c r="D4" s="6" t="s">
        <v>213</v>
      </c>
      <c r="E4" s="7"/>
      <c r="G4" s="6" t="s">
        <v>215</v>
      </c>
      <c r="H4" s="7"/>
      <c r="J4" s="6" t="s">
        <v>217</v>
      </c>
      <c r="K4" s="7"/>
    </row>
    <row r="5" spans="1:11" ht="25.5" x14ac:dyDescent="0.5">
      <c r="A5" s="8">
        <v>2461</v>
      </c>
      <c r="B5" s="7"/>
      <c r="D5" s="8">
        <v>112000</v>
      </c>
      <c r="E5" s="7"/>
      <c r="G5" s="8">
        <v>150</v>
      </c>
      <c r="H5" s="7"/>
      <c r="J5" s="8">
        <v>109</v>
      </c>
      <c r="K5" s="7"/>
    </row>
    <row r="6" spans="1:11" x14ac:dyDescent="0.25">
      <c r="A6" s="9" t="s">
        <v>212</v>
      </c>
      <c r="B6" s="7"/>
      <c r="D6" s="9" t="s">
        <v>214</v>
      </c>
      <c r="E6" s="7"/>
      <c r="G6" s="9" t="s">
        <v>216</v>
      </c>
      <c r="H6" s="7"/>
      <c r="J6" s="9" t="s">
        <v>218</v>
      </c>
      <c r="K6" s="7"/>
    </row>
    <row r="9" spans="1:11" x14ac:dyDescent="0.25">
      <c r="A9" s="4" t="s">
        <v>2</v>
      </c>
      <c r="B9" s="4" t="s">
        <v>3</v>
      </c>
      <c r="C9" s="4" t="s">
        <v>4</v>
      </c>
      <c r="D9" s="4" t="s">
        <v>5</v>
      </c>
      <c r="E9" s="4" t="s">
        <v>6</v>
      </c>
      <c r="F9" s="4" t="s">
        <v>7</v>
      </c>
      <c r="G9" s="4" t="s">
        <v>8</v>
      </c>
      <c r="H9" s="4" t="s">
        <v>9</v>
      </c>
      <c r="I9" s="4" t="s">
        <v>10</v>
      </c>
    </row>
    <row r="10" spans="1:11" x14ac:dyDescent="0.25">
      <c r="A10" s="1">
        <v>1</v>
      </c>
      <c r="B10" s="4" t="s">
        <v>11</v>
      </c>
      <c r="C10" s="1">
        <v>440</v>
      </c>
      <c r="D10" s="1">
        <v>6738</v>
      </c>
      <c r="E10" s="1">
        <v>6.5</v>
      </c>
      <c r="F10" s="1">
        <v>6.1</v>
      </c>
      <c r="G10" s="1">
        <v>440</v>
      </c>
      <c r="H10" s="4" t="s">
        <v>12</v>
      </c>
      <c r="I10" s="4" t="s">
        <v>13</v>
      </c>
    </row>
    <row r="11" spans="1:11" x14ac:dyDescent="0.25">
      <c r="A11" s="1">
        <v>2</v>
      </c>
      <c r="B11" s="4" t="s">
        <v>14</v>
      </c>
      <c r="C11" s="1">
        <v>356</v>
      </c>
      <c r="D11" s="1">
        <v>27311</v>
      </c>
      <c r="E11" s="1">
        <v>1.3</v>
      </c>
      <c r="F11" s="1">
        <v>5.3</v>
      </c>
      <c r="G11" s="1">
        <v>1638</v>
      </c>
      <c r="H11" s="4" t="s">
        <v>15</v>
      </c>
      <c r="I11" s="4" t="s">
        <v>16</v>
      </c>
    </row>
    <row r="12" spans="1:11" x14ac:dyDescent="0.25">
      <c r="A12" s="1">
        <v>3</v>
      </c>
      <c r="B12" s="4" t="s">
        <v>17</v>
      </c>
      <c r="C12" s="1">
        <v>226</v>
      </c>
      <c r="D12" s="1">
        <v>3602</v>
      </c>
      <c r="E12" s="1">
        <v>6.3</v>
      </c>
      <c r="F12" s="1">
        <v>10.199999999999999</v>
      </c>
      <c r="G12" s="1">
        <v>226</v>
      </c>
      <c r="H12" s="4" t="s">
        <v>18</v>
      </c>
      <c r="I12" s="4" t="s">
        <v>19</v>
      </c>
    </row>
    <row r="13" spans="1:11" x14ac:dyDescent="0.25">
      <c r="A13" s="1">
        <v>4</v>
      </c>
      <c r="B13" s="4" t="s">
        <v>20</v>
      </c>
      <c r="C13" s="1">
        <v>135</v>
      </c>
      <c r="D13" s="1">
        <v>10131</v>
      </c>
      <c r="E13" s="1">
        <v>1.3</v>
      </c>
      <c r="F13" s="1">
        <v>5.5</v>
      </c>
      <c r="G13" s="1">
        <v>607</v>
      </c>
      <c r="H13" s="4" t="s">
        <v>21</v>
      </c>
      <c r="I13" s="4" t="s">
        <v>22</v>
      </c>
    </row>
    <row r="14" spans="1:11" x14ac:dyDescent="0.25">
      <c r="A14" s="1">
        <v>5</v>
      </c>
      <c r="B14" s="4" t="s">
        <v>23</v>
      </c>
      <c r="C14" s="1">
        <v>124</v>
      </c>
      <c r="D14" s="1">
        <v>6927</v>
      </c>
      <c r="E14" s="1">
        <v>1.8</v>
      </c>
      <c r="F14" s="1">
        <v>7.7</v>
      </c>
      <c r="G14" s="1">
        <v>415</v>
      </c>
      <c r="H14" s="4" t="s">
        <v>24</v>
      </c>
      <c r="I14" s="4" t="s">
        <v>25</v>
      </c>
    </row>
    <row r="15" spans="1:11" x14ac:dyDescent="0.25">
      <c r="A15" s="1">
        <v>6</v>
      </c>
      <c r="B15" s="4" t="s">
        <v>26</v>
      </c>
      <c r="C15" s="1">
        <v>109</v>
      </c>
      <c r="D15" s="1">
        <v>1291</v>
      </c>
      <c r="E15" s="1">
        <v>8.4</v>
      </c>
      <c r="F15" s="1">
        <v>2.6</v>
      </c>
      <c r="G15" s="1">
        <v>109</v>
      </c>
      <c r="H15" s="4" t="s">
        <v>27</v>
      </c>
      <c r="I15" s="4" t="s">
        <v>28</v>
      </c>
    </row>
    <row r="16" spans="1:11" x14ac:dyDescent="0.25">
      <c r="A16" s="1">
        <v>7</v>
      </c>
      <c r="B16" s="4" t="s">
        <v>29</v>
      </c>
      <c r="C16" s="1">
        <v>108</v>
      </c>
      <c r="D16" s="1">
        <v>4456</v>
      </c>
      <c r="E16" s="1">
        <v>2.4</v>
      </c>
      <c r="F16" s="1">
        <v>4.2</v>
      </c>
      <c r="G16" s="1">
        <v>267</v>
      </c>
      <c r="H16" s="4" t="s">
        <v>30</v>
      </c>
      <c r="I16" s="4" t="s">
        <v>31</v>
      </c>
    </row>
    <row r="17" spans="1:9" x14ac:dyDescent="0.25">
      <c r="A17" s="1">
        <v>8</v>
      </c>
      <c r="B17" s="4" t="s">
        <v>32</v>
      </c>
      <c r="C17" s="1">
        <v>83</v>
      </c>
      <c r="D17" s="1">
        <v>1200</v>
      </c>
      <c r="E17" s="1">
        <v>6.9</v>
      </c>
      <c r="F17" s="1">
        <v>4.3</v>
      </c>
      <c r="G17" s="1">
        <v>83</v>
      </c>
      <c r="H17" s="4" t="s">
        <v>33</v>
      </c>
      <c r="I17" s="4" t="s">
        <v>34</v>
      </c>
    </row>
    <row r="18" spans="1:9" x14ac:dyDescent="0.25">
      <c r="A18" s="1">
        <v>9</v>
      </c>
      <c r="B18" s="4" t="s">
        <v>35</v>
      </c>
      <c r="C18" s="1">
        <v>60</v>
      </c>
      <c r="D18" s="1">
        <v>1637</v>
      </c>
      <c r="E18" s="1">
        <v>3.7</v>
      </c>
      <c r="F18" s="1">
        <v>6.4</v>
      </c>
      <c r="G18" s="1">
        <v>98</v>
      </c>
      <c r="H18" s="4" t="s">
        <v>36</v>
      </c>
      <c r="I18" s="4" t="s">
        <v>37</v>
      </c>
    </row>
    <row r="19" spans="1:9" x14ac:dyDescent="0.25">
      <c r="A19" s="1">
        <v>10</v>
      </c>
      <c r="B19" s="4" t="s">
        <v>38</v>
      </c>
      <c r="C19" s="1">
        <v>55</v>
      </c>
      <c r="D19" s="1">
        <v>1505</v>
      </c>
      <c r="E19" s="1">
        <v>3.7</v>
      </c>
      <c r="F19" s="1">
        <v>6.1</v>
      </c>
      <c r="G19" s="1">
        <v>90</v>
      </c>
      <c r="H19" s="4" t="s">
        <v>39</v>
      </c>
      <c r="I19" s="4" t="s">
        <v>40</v>
      </c>
    </row>
    <row r="20" spans="1:9" x14ac:dyDescent="0.25">
      <c r="A20" s="1" t="s">
        <v>41</v>
      </c>
      <c r="C20" s="1">
        <f>SUBTOTAL(109,BangTop10TrangErx[Clicks_3T])</f>
        <v>1696</v>
      </c>
      <c r="D20" s="1">
        <f>SUBTOTAL(109,BangTop10TrangErx[Impressions_3T])</f>
        <v>64798</v>
      </c>
      <c r="G20" s="1">
        <f>SUBTOTAL(109,BangTop10TrangErx[Clicks_Ky_Vong_6Pct])</f>
        <v>3973</v>
      </c>
      <c r="I20" s="1">
        <f>SUBTOTAL(103,BangTop10TrangErx[De_Xuat_Meta_Description_Moi_155_160_Ky_Tu])</f>
        <v>10</v>
      </c>
    </row>
  </sheetData>
  <mergeCells count="1">
    <mergeCell ref="A1:K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DS_URL_Can_Xu_Ly</vt:lpstr>
      <vt:lpstr>Checklist_Hang_Muc_Ky_Thuat</vt:lpstr>
      <vt:lpstr>Tong_Quan_Va_Top_Trang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 Nguyen Minh</dc:creator>
  <cp:lastModifiedBy>Ngoc - Nguyen Minh</cp:lastModifiedBy>
  <dcterms:created xsi:type="dcterms:W3CDTF">2026-10-24T01:08:48Z</dcterms:created>
  <dcterms:modified xsi:type="dcterms:W3CDTF">2026-10-24T01:08:49Z</dcterms:modified>
</cp:coreProperties>
</file>